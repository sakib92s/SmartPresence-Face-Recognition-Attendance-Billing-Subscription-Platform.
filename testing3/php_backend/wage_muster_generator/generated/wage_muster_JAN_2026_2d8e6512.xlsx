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ge Mu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sz val="11"/>
    </font>
    <font>
      <name val="Arial"/>
      <i val="1"/>
      <sz val="10"/>
    </font>
    <font>
      <name val="Arial"/>
      <b val="1"/>
      <color rgb="00FFFFFF"/>
      <sz val="11"/>
    </font>
    <font>
      <name val="Arial"/>
      <sz val="10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right" vertical="center"/>
    </xf>
    <xf numFmtId="4" fontId="6" fillId="0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4" fontId="7" fillId="0" borderId="1" applyAlignment="1" pivotButton="0" quotePrefix="0" xfId="0">
      <alignment horizontal="right" vertical="center"/>
    </xf>
    <xf numFmtId="0" fontId="8" fillId="0" borderId="0" pivotButton="0" quotePrefix="0" xfId="0"/>
    <xf numFmtId="0" fontId="7" fillId="0" borderId="0" pivotButton="0" quotePrefix="0" xfId="0"/>
    <xf numFmtId="4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3" customWidth="1" min="3" max="3"/>
    <col width="50" customWidth="1" min="4" max="4"/>
    <col width="6" customWidth="1" min="5" max="5"/>
    <col width="31" customWidth="1" min="6" max="6"/>
    <col width="14" customWidth="1" min="7" max="7"/>
    <col width="14" customWidth="1" min="8" max="8"/>
    <col width="37" customWidth="1" min="9" max="9"/>
    <col width="14" customWidth="1" min="10" max="10"/>
    <col width="37" customWidth="1" min="11" max="11"/>
    <col width="14" customWidth="1" min="12" max="12"/>
    <col width="26" customWidth="1" min="13" max="13"/>
    <col width="6" customWidth="1" min="14" max="14"/>
  </cols>
  <sheetData>
    <row r="1">
      <c r="A1" s="1" t="inlineStr">
        <is>
          <t>WAGE MUSTER FORM-B</t>
        </is>
      </c>
    </row>
    <row r="2">
      <c r="A2" s="2" t="inlineStr">
        <is>
          <t>KGN ENTERPRISES</t>
        </is>
      </c>
    </row>
    <row r="3">
      <c r="A3" s="3" t="inlineStr">
        <is>
          <t>Tender No: BJMPS8793J | Month: JAN-2026</t>
        </is>
      </c>
    </row>
    <row r="4">
      <c r="A4" s="3" t="inlineStr">
        <is>
          <t>Contractor: AMMUNITION FACTORY KHADKI | Location: PUNE</t>
        </is>
      </c>
    </row>
    <row r="5">
      <c r="A5" s="4" t="inlineStr">
        <is>
          <t>Generated on: 23-Jan-2026 18:50:58</t>
        </is>
      </c>
    </row>
    <row r="6"/>
    <row r="7">
      <c r="A7" s="5" t="inlineStr">
        <is>
          <t>SR.NO</t>
        </is>
      </c>
      <c r="B7" s="5" t="inlineStr">
        <is>
          <t>NAME OF EMPLOYEE</t>
        </is>
      </c>
      <c r="C7" s="5" t="inlineStr">
        <is>
          <t>DESIGNATION</t>
        </is>
      </c>
      <c r="D7" s="5" t="inlineStr">
        <is>
          <t>Working Days</t>
        </is>
      </c>
      <c r="E7" s="5" t="inlineStr">
        <is>
          <t>ATTN</t>
        </is>
      </c>
      <c r="F7" s="5" t="inlineStr">
        <is>
          <t>DW</t>
        </is>
      </c>
      <c r="G7" s="5" t="inlineStr">
        <is>
          <t>EARN WAGE</t>
        </is>
      </c>
      <c r="H7" s="5" t="inlineStr">
        <is>
          <t>EDLI</t>
        </is>
      </c>
      <c r="I7" s="5" t="inlineStr">
        <is>
          <t>BONUS @8.33</t>
        </is>
      </c>
      <c r="J7" s="5" t="inlineStr">
        <is>
          <t>EPF@ 12%</t>
        </is>
      </c>
      <c r="K7" s="5" t="inlineStr">
        <is>
          <t>ESIC- 0.75%</t>
        </is>
      </c>
      <c r="L7" s="5" t="inlineStr">
        <is>
          <t>PT</t>
        </is>
      </c>
      <c r="M7" s="5" t="inlineStr">
        <is>
          <t>NET PAY</t>
        </is>
      </c>
      <c r="N7" s="5" t="inlineStr">
        <is>
          <t>SIGN</t>
        </is>
      </c>
    </row>
    <row r="8">
      <c r="A8" s="6" t="n">
        <v>1</v>
      </c>
      <c r="B8" s="6" t="inlineStr">
        <is>
          <t>PRASHANT AWARE</t>
        </is>
      </c>
      <c r="C8" s="6" t="inlineStr">
        <is>
          <t>UNSKILLED</t>
        </is>
      </c>
      <c r="D8" s="6" t="n">
        <v>26</v>
      </c>
      <c r="E8" s="6" t="n">
        <v>22</v>
      </c>
      <c r="F8" s="7" t="n">
        <v>805</v>
      </c>
      <c r="G8" s="8">
        <f>E8*F8</f>
        <v/>
      </c>
      <c r="H8" s="8" t="n">
        <v>15000</v>
      </c>
      <c r="I8" s="8">
        <f>IF(C8="UNSKILLED", G8*0.0833, 0)</f>
        <v/>
      </c>
      <c r="J8" s="8">
        <f>H8*0.12</f>
        <v/>
      </c>
      <c r="K8" s="8">
        <f>IF(C8="UNSKILLED", G8*0.0075, 0)</f>
        <v/>
      </c>
      <c r="L8" s="8" t="n">
        <v>200</v>
      </c>
      <c r="M8" s="8">
        <f>(G8+I8)-(J8+K8+L8)</f>
        <v/>
      </c>
      <c r="N8" s="7" t="inlineStr"/>
    </row>
    <row r="9">
      <c r="A9" s="6" t="n">
        <v>2</v>
      </c>
      <c r="B9" s="6" t="inlineStr">
        <is>
          <t>RAHUL CHOUGULE</t>
        </is>
      </c>
      <c r="C9" s="6" t="inlineStr">
        <is>
          <t>UNSKILLED</t>
        </is>
      </c>
      <c r="D9" s="6" t="n">
        <v>26</v>
      </c>
      <c r="E9" s="6" t="n">
        <v>14</v>
      </c>
      <c r="F9" s="7" t="n">
        <v>805</v>
      </c>
      <c r="G9" s="8">
        <f>E9*F9</f>
        <v/>
      </c>
      <c r="H9" s="8" t="n">
        <v>11270</v>
      </c>
      <c r="I9" s="8">
        <f>IF(C9="UNSKILLED", G9*0.0833, 0)</f>
        <v/>
      </c>
      <c r="J9" s="8">
        <f>H9*0.12</f>
        <v/>
      </c>
      <c r="K9" s="8">
        <f>IF(C9="UNSKILLED", G9*0.0075, 0)</f>
        <v/>
      </c>
      <c r="L9" s="8" t="n">
        <v>200</v>
      </c>
      <c r="M9" s="8">
        <f>(G9+I9)-(J9+K9+L9)</f>
        <v/>
      </c>
      <c r="N9" s="7" t="inlineStr"/>
    </row>
    <row r="10">
      <c r="A10" s="6" t="n">
        <v>3</v>
      </c>
      <c r="B10" s="6" t="inlineStr">
        <is>
          <t>RANVIR PATIL</t>
        </is>
      </c>
      <c r="C10" s="6" t="inlineStr">
        <is>
          <t>UNSKILLED</t>
        </is>
      </c>
      <c r="D10" s="6" t="n">
        <v>26</v>
      </c>
      <c r="E10" s="6" t="n">
        <v>12</v>
      </c>
      <c r="F10" s="7" t="n">
        <v>805</v>
      </c>
      <c r="G10" s="8">
        <f>E10*F10</f>
        <v/>
      </c>
      <c r="H10" s="8" t="n">
        <v>9660</v>
      </c>
      <c r="I10" s="8">
        <f>IF(C10="UNSKILLED", G10*0.0833, 0)</f>
        <v/>
      </c>
      <c r="J10" s="8">
        <f>H10*0.12</f>
        <v/>
      </c>
      <c r="K10" s="8">
        <f>IF(C10="UNSKILLED", G10*0.0075, 0)</f>
        <v/>
      </c>
      <c r="L10" s="8" t="n">
        <v>175</v>
      </c>
      <c r="M10" s="8">
        <f>(G10+I10)-(J10+K10+L10)</f>
        <v/>
      </c>
      <c r="N10" s="7" t="inlineStr"/>
    </row>
    <row r="11">
      <c r="A11" s="6" t="n">
        <v>4</v>
      </c>
      <c r="B11" s="6" t="inlineStr">
        <is>
          <t>BASAVRAJ KOLI</t>
        </is>
      </c>
      <c r="C11" s="6" t="inlineStr">
        <is>
          <t>UNSKILLED</t>
        </is>
      </c>
      <c r="D11" s="6" t="n">
        <v>26</v>
      </c>
      <c r="E11" s="6" t="n">
        <v>23</v>
      </c>
      <c r="F11" s="7" t="n">
        <v>805</v>
      </c>
      <c r="G11" s="8">
        <f>E11*F11</f>
        <v/>
      </c>
      <c r="H11" s="8" t="n">
        <v>15000</v>
      </c>
      <c r="I11" s="8">
        <f>IF(C11="UNSKILLED", G11*0.0833, 0)</f>
        <v/>
      </c>
      <c r="J11" s="8">
        <f>H11*0.12</f>
        <v/>
      </c>
      <c r="K11" s="8">
        <f>IF(C11="UNSKILLED", G11*0.0075, 0)</f>
        <v/>
      </c>
      <c r="L11" s="8" t="n">
        <v>200</v>
      </c>
      <c r="M11" s="8">
        <f>(G11+I11)-(J11+K11+L11)</f>
        <v/>
      </c>
      <c r="N11" s="7" t="inlineStr"/>
    </row>
    <row r="12">
      <c r="A12" s="6" t="n">
        <v>5</v>
      </c>
      <c r="B12" s="6" t="inlineStr">
        <is>
          <t>BABU KOLI</t>
        </is>
      </c>
      <c r="C12" s="6" t="inlineStr">
        <is>
          <t>UNSKILLED</t>
        </is>
      </c>
      <c r="D12" s="6" t="n">
        <v>26</v>
      </c>
      <c r="E12" s="6" t="n">
        <v>18</v>
      </c>
      <c r="F12" s="7" t="n">
        <v>805</v>
      </c>
      <c r="G12" s="8">
        <f>E12*F12</f>
        <v/>
      </c>
      <c r="H12" s="8" t="n">
        <v>14490</v>
      </c>
      <c r="I12" s="8">
        <f>IF(C12="UNSKILLED", G12*0.0833, 0)</f>
        <v/>
      </c>
      <c r="J12" s="8">
        <f>H12*0.12</f>
        <v/>
      </c>
      <c r="K12" s="8">
        <f>IF(C12="UNSKILLED", G12*0.0075, 0)</f>
        <v/>
      </c>
      <c r="L12" s="8" t="n">
        <v>200</v>
      </c>
      <c r="M12" s="8">
        <f>(G12+I12)-(J12+K12+L12)</f>
        <v/>
      </c>
      <c r="N12" s="7" t="inlineStr"/>
    </row>
    <row r="13">
      <c r="A13" s="6" t="n">
        <v>6</v>
      </c>
      <c r="B13" s="6" t="inlineStr">
        <is>
          <t>BHEEMANNA KOLI</t>
        </is>
      </c>
      <c r="C13" s="6" t="inlineStr">
        <is>
          <t>UNSKILLED</t>
        </is>
      </c>
      <c r="D13" s="6" t="n">
        <v>26</v>
      </c>
      <c r="E13" s="6" t="n">
        <v>7</v>
      </c>
      <c r="F13" s="7" t="n">
        <v>805</v>
      </c>
      <c r="G13" s="8">
        <f>E13*F13</f>
        <v/>
      </c>
      <c r="H13" s="8" t="n">
        <v>5635</v>
      </c>
      <c r="I13" s="8">
        <f>IF(C13="UNSKILLED", G13*0.0833, 0)</f>
        <v/>
      </c>
      <c r="J13" s="8">
        <f>H13*0.12</f>
        <v/>
      </c>
      <c r="K13" s="8">
        <f>IF(C13="UNSKILLED", G13*0.0075, 0)</f>
        <v/>
      </c>
      <c r="L13" s="8" t="n">
        <v>0</v>
      </c>
      <c r="M13" s="8">
        <f>(G13+I13)-(J13+K13+L13)</f>
        <v/>
      </c>
      <c r="N13" s="7" t="inlineStr"/>
    </row>
    <row r="14">
      <c r="A14" s="6" t="n">
        <v>7</v>
      </c>
      <c r="B14" s="6" t="inlineStr">
        <is>
          <t>BHIMA CHALWDI</t>
        </is>
      </c>
      <c r="C14" s="6" t="inlineStr">
        <is>
          <t>UNSKILLED</t>
        </is>
      </c>
      <c r="D14" s="6" t="n">
        <v>26</v>
      </c>
      <c r="E14" s="6" t="n">
        <v>23</v>
      </c>
      <c r="F14" s="7" t="n">
        <v>805</v>
      </c>
      <c r="G14" s="8">
        <f>E14*F14</f>
        <v/>
      </c>
      <c r="H14" s="8" t="n">
        <v>15000</v>
      </c>
      <c r="I14" s="8">
        <f>IF(C14="UNSKILLED", G14*0.0833, 0)</f>
        <v/>
      </c>
      <c r="J14" s="8">
        <f>H14*0.12</f>
        <v/>
      </c>
      <c r="K14" s="8">
        <f>IF(C14="UNSKILLED", G14*0.0075, 0)</f>
        <v/>
      </c>
      <c r="L14" s="8" t="n">
        <v>200</v>
      </c>
      <c r="M14" s="8">
        <f>(G14+I14)-(J14+K14+L14)</f>
        <v/>
      </c>
      <c r="N14" s="7" t="inlineStr"/>
    </row>
    <row r="15">
      <c r="A15" s="6" t="n">
        <v>8</v>
      </c>
      <c r="B15" s="6" t="inlineStr">
        <is>
          <t>RAKESH KOLKAR</t>
        </is>
      </c>
      <c r="C15" s="6" t="inlineStr">
        <is>
          <t>UNSKILLED</t>
        </is>
      </c>
      <c r="D15" s="6" t="n">
        <v>26</v>
      </c>
      <c r="E15" s="6" t="n">
        <v>24</v>
      </c>
      <c r="F15" s="7" t="n">
        <v>805</v>
      </c>
      <c r="G15" s="8">
        <f>E15*F15</f>
        <v/>
      </c>
      <c r="H15" s="8" t="n">
        <v>15000</v>
      </c>
      <c r="I15" s="8">
        <f>IF(C15="UNSKILLED", G15*0.0833, 0)</f>
        <v/>
      </c>
      <c r="J15" s="8">
        <f>H15*0.12</f>
        <v/>
      </c>
      <c r="K15" s="8">
        <f>IF(C15="UNSKILLED", G15*0.0075, 0)</f>
        <v/>
      </c>
      <c r="L15" s="8" t="n">
        <v>200</v>
      </c>
      <c r="M15" s="8">
        <f>(G15+I15)-(J15+K15+L15)</f>
        <v/>
      </c>
      <c r="N15" s="7" t="inlineStr"/>
    </row>
    <row r="16">
      <c r="A16" s="6" t="n">
        <v>9</v>
      </c>
      <c r="B16" s="6" t="inlineStr">
        <is>
          <t>DENESH KACHI</t>
        </is>
      </c>
      <c r="C16" s="6" t="inlineStr">
        <is>
          <t>UNSKILLED</t>
        </is>
      </c>
      <c r="D16" s="6" t="n">
        <v>26</v>
      </c>
      <c r="E16" s="6" t="n">
        <v>24</v>
      </c>
      <c r="F16" s="7" t="n">
        <v>805</v>
      </c>
      <c r="G16" s="8">
        <f>E16*F16</f>
        <v/>
      </c>
      <c r="H16" s="8" t="n">
        <v>15000</v>
      </c>
      <c r="I16" s="8">
        <f>IF(C16="UNSKILLED", G16*0.0833, 0)</f>
        <v/>
      </c>
      <c r="J16" s="8">
        <f>H16*0.12</f>
        <v/>
      </c>
      <c r="K16" s="8">
        <f>IF(C16="UNSKILLED", G16*0.0075, 0)</f>
        <v/>
      </c>
      <c r="L16" s="8" t="n">
        <v>200</v>
      </c>
      <c r="M16" s="8">
        <f>(G16+I16)-(J16+K16+L16)</f>
        <v/>
      </c>
      <c r="N16" s="7" t="inlineStr"/>
    </row>
    <row r="17">
      <c r="A17" s="6" t="n">
        <v>10</v>
      </c>
      <c r="B17" s="6" t="inlineStr">
        <is>
          <t>BABU ALKATTI</t>
        </is>
      </c>
      <c r="C17" s="6" t="inlineStr">
        <is>
          <t>UNSKILLED</t>
        </is>
      </c>
      <c r="D17" s="6" t="n">
        <v>26</v>
      </c>
      <c r="E17" s="6" t="n">
        <v>23</v>
      </c>
      <c r="F17" s="7" t="n">
        <v>805</v>
      </c>
      <c r="G17" s="8">
        <f>E17*F17</f>
        <v/>
      </c>
      <c r="H17" s="8" t="n">
        <v>15000</v>
      </c>
      <c r="I17" s="8">
        <f>IF(C17="UNSKILLED", G17*0.0833, 0)</f>
        <v/>
      </c>
      <c r="J17" s="8">
        <f>H17*0.12</f>
        <v/>
      </c>
      <c r="K17" s="8">
        <f>IF(C17="UNSKILLED", G17*0.0075, 0)</f>
        <v/>
      </c>
      <c r="L17" s="8" t="n">
        <v>200</v>
      </c>
      <c r="M17" s="8">
        <f>(G17+I17)-(J17+K17+L17)</f>
        <v/>
      </c>
      <c r="N17" s="7" t="inlineStr"/>
    </row>
    <row r="18">
      <c r="A18" s="6" t="n">
        <v>11</v>
      </c>
      <c r="B18" s="6" t="inlineStr">
        <is>
          <t>SACHIN GOGAL</t>
        </is>
      </c>
      <c r="C18" s="6" t="inlineStr">
        <is>
          <t>UNSKILLED</t>
        </is>
      </c>
      <c r="D18" s="6" t="n">
        <v>26</v>
      </c>
      <c r="E18" s="6" t="n">
        <v>7</v>
      </c>
      <c r="F18" s="7" t="n">
        <v>805</v>
      </c>
      <c r="G18" s="8">
        <f>E18*F18</f>
        <v/>
      </c>
      <c r="H18" s="8" t="n">
        <v>5635</v>
      </c>
      <c r="I18" s="8">
        <f>IF(C18="UNSKILLED", G18*0.0833, 0)</f>
        <v/>
      </c>
      <c r="J18" s="8">
        <f>H18*0.12</f>
        <v/>
      </c>
      <c r="K18" s="8">
        <f>IF(C18="UNSKILLED", G18*0.0075, 0)</f>
        <v/>
      </c>
      <c r="L18" s="8" t="n">
        <v>0</v>
      </c>
      <c r="M18" s="8">
        <f>(G18+I18)-(J18+K18+L18)</f>
        <v/>
      </c>
      <c r="N18" s="7" t="inlineStr"/>
    </row>
    <row r="19">
      <c r="A19" s="6" t="n">
        <v>12</v>
      </c>
      <c r="B19" s="6" t="inlineStr">
        <is>
          <t>DEEPAK YAMKAR</t>
        </is>
      </c>
      <c r="C19" s="6" t="inlineStr">
        <is>
          <t>UNSKILLED</t>
        </is>
      </c>
      <c r="D19" s="6" t="n">
        <v>26</v>
      </c>
      <c r="E19" s="6" t="n">
        <v>24</v>
      </c>
      <c r="F19" s="7" t="n">
        <v>805</v>
      </c>
      <c r="G19" s="8">
        <f>E19*F19</f>
        <v/>
      </c>
      <c r="H19" s="8" t="n">
        <v>15000</v>
      </c>
      <c r="I19" s="8">
        <f>IF(C19="UNSKILLED", G19*0.0833, 0)</f>
        <v/>
      </c>
      <c r="J19" s="8">
        <f>H19*0.12</f>
        <v/>
      </c>
      <c r="K19" s="8">
        <f>IF(C19="UNSKILLED", G19*0.0075, 0)</f>
        <v/>
      </c>
      <c r="L19" s="8" t="n">
        <v>200</v>
      </c>
      <c r="M19" s="8">
        <f>(G19+I19)-(J19+K19+L19)</f>
        <v/>
      </c>
      <c r="N19" s="7" t="inlineStr"/>
    </row>
    <row r="20">
      <c r="A20" s="6" t="n">
        <v>13</v>
      </c>
      <c r="B20" s="6" t="inlineStr">
        <is>
          <t>JYOTI BORADE</t>
        </is>
      </c>
      <c r="C20" s="6" t="inlineStr">
        <is>
          <t>UNSKILLED</t>
        </is>
      </c>
      <c r="D20" s="6" t="n">
        <v>26</v>
      </c>
      <c r="E20" s="6" t="n">
        <v>24</v>
      </c>
      <c r="F20" s="7" t="n">
        <v>805</v>
      </c>
      <c r="G20" s="8">
        <f>E20*F20</f>
        <v/>
      </c>
      <c r="H20" s="8" t="n">
        <v>15000</v>
      </c>
      <c r="I20" s="8">
        <f>IF(C20="UNSKILLED", G20*0.0833, 0)</f>
        <v/>
      </c>
      <c r="J20" s="8">
        <f>H20*0.12</f>
        <v/>
      </c>
      <c r="K20" s="8">
        <f>IF(C20="UNSKILLED", G20*0.0075, 0)</f>
        <v/>
      </c>
      <c r="L20" s="8" t="n">
        <v>0</v>
      </c>
      <c r="M20" s="8">
        <f>(G20+I20)-(J20+K20+L20)</f>
        <v/>
      </c>
      <c r="N20" s="7" t="inlineStr"/>
    </row>
    <row r="21">
      <c r="A21" s="6" t="n">
        <v>14</v>
      </c>
      <c r="B21" s="6" t="inlineStr">
        <is>
          <t>RAHUL MAGAR</t>
        </is>
      </c>
      <c r="C21" s="6" t="inlineStr">
        <is>
          <t>UNSKILLED</t>
        </is>
      </c>
      <c r="D21" s="6" t="n">
        <v>26</v>
      </c>
      <c r="E21" s="6" t="n">
        <v>24</v>
      </c>
      <c r="F21" s="7" t="n">
        <v>805</v>
      </c>
      <c r="G21" s="8">
        <f>E21*F21</f>
        <v/>
      </c>
      <c r="H21" s="8" t="n">
        <v>15000</v>
      </c>
      <c r="I21" s="8">
        <f>IF(C21="UNSKILLED", G21*0.0833, 0)</f>
        <v/>
      </c>
      <c r="J21" s="8">
        <f>H21*0.12</f>
        <v/>
      </c>
      <c r="K21" s="8">
        <f>IF(C21="UNSKILLED", G21*0.0075, 0)</f>
        <v/>
      </c>
      <c r="L21" s="8" t="n">
        <v>200</v>
      </c>
      <c r="M21" s="8">
        <f>(G21+I21)-(J21+K21+L21)</f>
        <v/>
      </c>
      <c r="N21" s="7" t="inlineStr"/>
    </row>
    <row r="22">
      <c r="A22" s="6" t="n">
        <v>15</v>
      </c>
      <c r="B22" s="6" t="inlineStr">
        <is>
          <t>PRASHANT ALGUDE</t>
        </is>
      </c>
      <c r="C22" s="6" t="inlineStr">
        <is>
          <t>UNSKILLED</t>
        </is>
      </c>
      <c r="D22" s="6" t="n">
        <v>26</v>
      </c>
      <c r="E22" s="6" t="n">
        <v>24</v>
      </c>
      <c r="F22" s="7" t="n">
        <v>805</v>
      </c>
      <c r="G22" s="8">
        <f>E22*F22</f>
        <v/>
      </c>
      <c r="H22" s="8" t="n">
        <v>15000</v>
      </c>
      <c r="I22" s="8">
        <f>IF(C22="UNSKILLED", G22*0.0833, 0)</f>
        <v/>
      </c>
      <c r="J22" s="8">
        <f>H22*0.12</f>
        <v/>
      </c>
      <c r="K22" s="8">
        <f>IF(C22="UNSKILLED", G22*0.0075, 0)</f>
        <v/>
      </c>
      <c r="L22" s="8" t="n">
        <v>200</v>
      </c>
      <c r="M22" s="8">
        <f>(G22+I22)-(J22+K22+L22)</f>
        <v/>
      </c>
      <c r="N22" s="7" t="inlineStr"/>
    </row>
    <row r="23">
      <c r="A23" s="6" t="n">
        <v>16</v>
      </c>
      <c r="B23" s="6" t="inlineStr">
        <is>
          <t>ASHISH BHISE</t>
        </is>
      </c>
      <c r="C23" s="6" t="inlineStr">
        <is>
          <t>UNSKILLED</t>
        </is>
      </c>
      <c r="D23" s="6" t="n">
        <v>26</v>
      </c>
      <c r="E23" s="6" t="n">
        <v>24</v>
      </c>
      <c r="F23" s="7" t="n">
        <v>805</v>
      </c>
      <c r="G23" s="8">
        <f>E23*F23</f>
        <v/>
      </c>
      <c r="H23" s="8" t="n">
        <v>15000</v>
      </c>
      <c r="I23" s="8">
        <f>IF(C23="UNSKILLED", G23*0.0833, 0)</f>
        <v/>
      </c>
      <c r="J23" s="8">
        <f>H23*0.12</f>
        <v/>
      </c>
      <c r="K23" s="8">
        <f>IF(C23="UNSKILLED", G23*0.0075, 0)</f>
        <v/>
      </c>
      <c r="L23" s="8" t="n">
        <v>200</v>
      </c>
      <c r="M23" s="8">
        <f>(G23+I23)-(J23+K23+L23)</f>
        <v/>
      </c>
      <c r="N23" s="7" t="inlineStr"/>
    </row>
    <row r="24">
      <c r="A24" s="6" t="n">
        <v>17</v>
      </c>
      <c r="B24" s="6" t="inlineStr">
        <is>
          <t>RAHUL SAMUDERE</t>
        </is>
      </c>
      <c r="C24" s="6" t="inlineStr">
        <is>
          <t>UNSKILLED</t>
        </is>
      </c>
      <c r="D24" s="6" t="n">
        <v>26</v>
      </c>
      <c r="E24" s="6" t="n">
        <v>16</v>
      </c>
      <c r="F24" s="7" t="n">
        <v>805</v>
      </c>
      <c r="G24" s="8">
        <f>E24*F24</f>
        <v/>
      </c>
      <c r="H24" s="8" t="n">
        <v>12880</v>
      </c>
      <c r="I24" s="8">
        <f>IF(C24="UNSKILLED", G24*0.0833, 0)</f>
        <v/>
      </c>
      <c r="J24" s="8">
        <f>H24*0.12</f>
        <v/>
      </c>
      <c r="K24" s="8">
        <f>IF(C24="UNSKILLED", G24*0.0075, 0)</f>
        <v/>
      </c>
      <c r="L24" s="8" t="n">
        <v>200</v>
      </c>
      <c r="M24" s="8">
        <f>(G24+I24)-(J24+K24+L24)</f>
        <v/>
      </c>
      <c r="N24" s="7" t="inlineStr"/>
    </row>
    <row r="25">
      <c r="A25" s="9" t="inlineStr">
        <is>
          <t>TOTAL</t>
        </is>
      </c>
      <c r="G25" s="10">
        <f>SUM(G8:G24)</f>
        <v/>
      </c>
      <c r="H25" s="10">
        <f>SUM(H8:H24)</f>
        <v/>
      </c>
      <c r="I25" s="10">
        <f>SUM(I8:I24)</f>
        <v/>
      </c>
      <c r="J25" s="10">
        <f>SUM(J8:J24)</f>
        <v/>
      </c>
      <c r="K25" s="10">
        <f>SUM(K8:K24)</f>
        <v/>
      </c>
      <c r="L25" s="10">
        <f>SUM(L8:L24)</f>
        <v/>
      </c>
      <c r="M25" s="10">
        <f>SUM(M8:M24)</f>
        <v/>
      </c>
    </row>
    <row r="26"/>
    <row r="27">
      <c r="A27" s="11" t="inlineStr">
        <is>
          <t>CALCULATION RULES AND FORMULAS:</t>
        </is>
      </c>
    </row>
    <row r="28">
      <c r="A28" s="12" t="inlineStr">
        <is>
          <t>DAILY WAGE RATES:</t>
        </is>
      </c>
      <c r="D28" t="inlineStr">
        <is>
          <t>Unskilled: ₹805, Semi-Skilled: ₹893, Skilled: ₹981, High Skilled: ₹1065</t>
        </is>
      </c>
    </row>
    <row r="29">
      <c r="A29" s="12" t="inlineStr">
        <is>
          <t>EARNED WAGE (G):</t>
        </is>
      </c>
      <c r="D29">
        <f> ATTENDANCE (E) × DAILY WAGE (F)</f>
        <v/>
      </c>
    </row>
    <row r="30">
      <c r="A30" s="12" t="inlineStr">
        <is>
          <t>EDLI (H):</t>
        </is>
      </c>
      <c r="D30">
        <f> IF(EARNED WAGE &gt;= 15000, 15000, EARNED WAGE)</f>
        <v/>
      </c>
    </row>
    <row r="31">
      <c r="A31" s="12" t="inlineStr">
        <is>
          <t>BONUS (I):</t>
        </is>
      </c>
      <c r="D31">
        <f> IF(DESIGNATION="UNSKILLED", EARNED WAGE (G) × 8.33%, 0)</f>
        <v/>
      </c>
    </row>
    <row r="32">
      <c r="A32" s="12" t="inlineStr">
        <is>
          <t>EPF (J):</t>
        </is>
      </c>
      <c r="D32">
        <f> EDLI (H) × 12% (Applicable to all categories)</f>
        <v/>
      </c>
    </row>
    <row r="33">
      <c r="A33" s="12" t="inlineStr">
        <is>
          <t>ESIC (K):</t>
        </is>
      </c>
      <c r="D33">
        <f> IF(DESIGNATION="UNSKILLED", EARNED WAGE (G) × 0.75%, 0)</f>
        <v/>
      </c>
    </row>
    <row r="34">
      <c r="A34" s="12" t="inlineStr">
        <is>
          <t>PROFESSIONAL TAX (L) - MALE:</t>
        </is>
      </c>
      <c r="D34" t="inlineStr">
        <is>
          <t>If Earned Wage &lt; ₹7500: ₹0; ₹7500-₹10000: ₹175; &gt;₹10000: ₹200</t>
        </is>
      </c>
    </row>
    <row r="35">
      <c r="A35" s="12" t="inlineStr">
        <is>
          <t>PROFESSIONAL TAX (L) - FEMALE:</t>
        </is>
      </c>
      <c r="D35" t="inlineStr">
        <is>
          <t>If Earned Wage ≤ ₹25000: ₹0; &gt;₹25000: ₹200</t>
        </is>
      </c>
    </row>
    <row r="36">
      <c r="A36" s="12" t="inlineStr">
        <is>
          <t>NET PAY (M):</t>
        </is>
      </c>
      <c r="D36">
        <f> (EARNED WAGE + BONUS) - (EPF + ESIC + PT)</f>
        <v/>
      </c>
    </row>
    <row r="37">
      <c r="A37" s="12" t="inlineStr">
        <is>
          <t>VERIFICATION:</t>
        </is>
      </c>
      <c r="D37" t="inlineStr">
        <is>
          <t>Column M should match: =(G+I)-(J+K+L)</t>
        </is>
      </c>
    </row>
    <row r="38">
      <c r="A38" s="12" t="inlineStr">
        <is>
          <t>SPECIAL RULES:</t>
        </is>
      </c>
      <c r="D38" t="inlineStr">
        <is>
          <t>Bonus and ESIC applicable ONLY for Unskilled category. Other categories get 0.</t>
        </is>
      </c>
    </row>
    <row r="39"/>
    <row r="40">
      <c r="A40" s="11" t="inlineStr">
        <is>
          <t>SUMMARY STATISTICS:</t>
        </is>
      </c>
    </row>
    <row r="41">
      <c r="A41" s="12" t="inlineStr">
        <is>
          <t>Total Employees:</t>
        </is>
      </c>
      <c r="F41" s="13" t="n">
        <v>17</v>
      </c>
    </row>
    <row r="42">
      <c r="A42" s="12" t="inlineStr">
        <is>
          <t>Unskilled Employees:</t>
        </is>
      </c>
      <c r="F42" s="13">
        <f>COUNTIF(C8:C33, "UNSKILLED")</f>
        <v/>
      </c>
    </row>
    <row r="43">
      <c r="A43" s="12" t="inlineStr">
        <is>
          <t>Total Earned Wage:</t>
        </is>
      </c>
      <c r="F43" s="13">
        <f>SUM(G8:G33)</f>
        <v/>
      </c>
    </row>
    <row r="44">
      <c r="A44" s="12" t="inlineStr">
        <is>
          <t>Total Bonus (Unskilled Only):</t>
        </is>
      </c>
      <c r="F44" s="13">
        <f>SUM(I8:I33)</f>
        <v/>
      </c>
    </row>
    <row r="45">
      <c r="A45" s="12" t="inlineStr">
        <is>
          <t>Total Deductions:</t>
        </is>
      </c>
      <c r="F45" s="13">
        <f>SUM(J8:L33)</f>
        <v/>
      </c>
    </row>
    <row r="46">
      <c r="A46" s="12" t="inlineStr">
        <is>
          <t>Total Net Payable:</t>
        </is>
      </c>
      <c r="F46" s="13">
        <f>SUM(M8:M33)</f>
        <v/>
      </c>
    </row>
    <row r="47">
      <c r="A47" s="12" t="inlineStr">
        <is>
          <t>Average Net Pay per Employee:</t>
        </is>
      </c>
      <c r="F47" s="13">
        <f>AVERAGE(M8:M33)</f>
        <v/>
      </c>
    </row>
  </sheetData>
  <mergeCells count="44">
    <mergeCell ref="A40:N40"/>
    <mergeCell ref="D35:N35"/>
    <mergeCell ref="A37:C37"/>
    <mergeCell ref="F45:N45"/>
    <mergeCell ref="F42:N42"/>
    <mergeCell ref="D34:N34"/>
    <mergeCell ref="A45:E45"/>
    <mergeCell ref="F41:N41"/>
    <mergeCell ref="D31:N31"/>
    <mergeCell ref="A1:N1"/>
    <mergeCell ref="F47:N47"/>
    <mergeCell ref="A33:C33"/>
    <mergeCell ref="D36:N36"/>
    <mergeCell ref="A32:C32"/>
    <mergeCell ref="F46:N46"/>
    <mergeCell ref="A41:E41"/>
    <mergeCell ref="A46:E46"/>
    <mergeCell ref="D32:N32"/>
    <mergeCell ref="A29:C29"/>
    <mergeCell ref="A35:C35"/>
    <mergeCell ref="F43:N43"/>
    <mergeCell ref="A38:C38"/>
    <mergeCell ref="A28:C28"/>
    <mergeCell ref="A27:N27"/>
    <mergeCell ref="A3:N3"/>
    <mergeCell ref="A31:C31"/>
    <mergeCell ref="A2:N2"/>
    <mergeCell ref="A42:E42"/>
    <mergeCell ref="A47:E47"/>
    <mergeCell ref="D37:N37"/>
    <mergeCell ref="A30:C30"/>
    <mergeCell ref="A44:E44"/>
    <mergeCell ref="D28:N28"/>
    <mergeCell ref="A5:N5"/>
    <mergeCell ref="A34:C34"/>
    <mergeCell ref="F44:N44"/>
    <mergeCell ref="A36:C36"/>
    <mergeCell ref="A43:E43"/>
    <mergeCell ref="A4:N4"/>
    <mergeCell ref="D30:N30"/>
    <mergeCell ref="D33:N33"/>
    <mergeCell ref="D38:N38"/>
    <mergeCell ref="D29:N29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2026-01-23T13:20:58Z</dcterms:created>
  <dcterms:modified xmlns:dcterms="http://purl.org/dc/terms/" xmlns:xsi="http://www.w3.org/2001/XMLSchema-instance" xsi:type="dcterms:W3CDTF">2026-01-23T13:20:58Z</dcterms:modified>
</cp:coreProperties>
</file>